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ata Analytics\Excel\"/>
    </mc:Choice>
  </mc:AlternateContent>
  <xr:revisionPtr revIDLastSave="0" documentId="13_ncr:1_{8DA34C2D-2503-40CD-9B2F-01FE67BED63D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Employees" sheetId="1" r:id="rId1"/>
    <sheet name="Homework" sheetId="2" r:id="rId2"/>
    <sheet name="Instructions" sheetId="3" r:id="rId3"/>
    <sheet name="Answers" sheetId="4" r:id="rId4"/>
  </sheets>
  <definedNames>
    <definedName name="_xlnm._FilterDatabase" localSheetId="0" hidden="1">Employees!$A$1:$J$16</definedName>
    <definedName name="_xlnm._FilterDatabase" localSheetId="1" hidden="1">Homework!$A$1:$D$21</definedName>
    <definedName name="_xlnm._FilterDatabase" localSheetId="2" hidden="1">Instructions!$A$1:$A$6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2" i="4" l="1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21" i="4"/>
  <c r="B22" i="4"/>
  <c r="B26" i="4"/>
  <c r="B30" i="4"/>
  <c r="B34" i="4"/>
  <c r="A22" i="4"/>
  <c r="A23" i="4"/>
  <c r="B23" i="4" s="1"/>
  <c r="A24" i="4"/>
  <c r="B24" i="4" s="1"/>
  <c r="A25" i="4"/>
  <c r="B25" i="4" s="1"/>
  <c r="A26" i="4"/>
  <c r="A27" i="4"/>
  <c r="B27" i="4" s="1"/>
  <c r="A28" i="4"/>
  <c r="B28" i="4" s="1"/>
  <c r="A29" i="4"/>
  <c r="B29" i="4" s="1"/>
  <c r="A30" i="4"/>
  <c r="A31" i="4"/>
  <c r="B31" i="4" s="1"/>
  <c r="A32" i="4"/>
  <c r="B32" i="4" s="1"/>
  <c r="A33" i="4"/>
  <c r="B33" i="4" s="1"/>
  <c r="A34" i="4"/>
  <c r="A35" i="4"/>
  <c r="B35" i="4" s="1"/>
  <c r="A21" i="4"/>
  <c r="B21" i="4" s="1"/>
</calcChain>
</file>

<file path=xl/sharedStrings.xml><?xml version="1.0" encoding="utf-8"?>
<sst xmlns="http://schemas.openxmlformats.org/spreadsheetml/2006/main" count="201" uniqueCount="103">
  <si>
    <t>Employee_ID</t>
  </si>
  <si>
    <t>Employee_Name</t>
  </si>
  <si>
    <t>Department</t>
  </si>
  <si>
    <t>Location</t>
  </si>
  <si>
    <t>Salary</t>
  </si>
  <si>
    <t>Hire_Date</t>
  </si>
  <si>
    <t>Projects_Completed</t>
  </si>
  <si>
    <t>Training_Hours</t>
  </si>
  <si>
    <t>Attendance_Bonus_Eligible</t>
  </si>
  <si>
    <t>Performance_Target_Met</t>
  </si>
  <si>
    <t>Ava Rodriguez</t>
  </si>
  <si>
    <t>Finance</t>
  </si>
  <si>
    <t>Chennai</t>
  </si>
  <si>
    <t>David Johnson</t>
  </si>
  <si>
    <t>IT</t>
  </si>
  <si>
    <t>Bangalore</t>
  </si>
  <si>
    <t>Chris Wilson</t>
  </si>
  <si>
    <t>Emily Davis</t>
  </si>
  <si>
    <t>Sophia Brown</t>
  </si>
  <si>
    <t>HR</t>
  </si>
  <si>
    <t>Hyderabad</t>
  </si>
  <si>
    <t>Michael Smith</t>
  </si>
  <si>
    <t>Olivia Taylor</t>
  </si>
  <si>
    <t>James Anderson</t>
  </si>
  <si>
    <t>Marketing</t>
  </si>
  <si>
    <t>Pune</t>
  </si>
  <si>
    <t>Emma Thomas</t>
  </si>
  <si>
    <t>Daniel White</t>
  </si>
  <si>
    <t>Mia Martin</t>
  </si>
  <si>
    <t>Noah Clark</t>
  </si>
  <si>
    <t>Isabella Lewis</t>
  </si>
  <si>
    <t>Sales</t>
  </si>
  <si>
    <t>Kochi</t>
  </si>
  <si>
    <t>Ethan Walker</t>
  </si>
  <si>
    <t>Amelia Hall</t>
  </si>
  <si>
    <t>Question_No</t>
  </si>
  <si>
    <t>Topic</t>
  </si>
  <si>
    <t>Homework_Question</t>
  </si>
  <si>
    <t>Operator_or_Function</t>
  </si>
  <si>
    <t>Arithmetic</t>
  </si>
  <si>
    <t>Calculate annual salary assuming monthly salary is Salary / 12. Use arithmetic operators to calculate monthly salary in a new column.</t>
  </si>
  <si>
    <t>Arithmetic operators (+, -, *, /)</t>
  </si>
  <si>
    <t>Calculate a 10% salary increase for each employee.</t>
  </si>
  <si>
    <t>*</t>
  </si>
  <si>
    <t>Calculate the annual bonus as 8% of Salary.</t>
  </si>
  <si>
    <t>Calculate the difference between Salary and 60,000.</t>
  </si>
  <si>
    <t>-</t>
  </si>
  <si>
    <t>Calculate a project allowance of 1,500 per completed project.</t>
  </si>
  <si>
    <t>Comparison</t>
  </si>
  <si>
    <t>Return TRUE for employees whose Salary is greater than 80,000.</t>
  </si>
  <si>
    <t>&gt;</t>
  </si>
  <si>
    <t>Return TRUE for employees whose Salary is equal to 75,000.</t>
  </si>
  <si>
    <t>=</t>
  </si>
  <si>
    <t>Identify employees whose Salary is not equal to 70,000.</t>
  </si>
  <si>
    <t>&lt;&gt;</t>
  </si>
  <si>
    <t>Check whether Projects_Completed is greater than or equal to 4.</t>
  </si>
  <si>
    <t>&gt;=</t>
  </si>
  <si>
    <t>Check whether Training_Hours is less than 3.</t>
  </si>
  <si>
    <t>&lt;</t>
  </si>
  <si>
    <t>Logical</t>
  </si>
  <si>
    <t>Mark employees as eligible only when Salary is at least 75,000 AND Performance_Target_Met is 1.</t>
  </si>
  <si>
    <t>AND</t>
  </si>
  <si>
    <t>Mark employees as eligible when Department is Finance OR IT.</t>
  </si>
  <si>
    <t>OR</t>
  </si>
  <si>
    <t>Identify employees who are NOT eligible for an attendance bonus.</t>
  </si>
  <si>
    <t>NOT</t>
  </si>
  <si>
    <t>Return TRUE when Salary is at least 80,000 OR Projects_Completed is at least 4.</t>
  </si>
  <si>
    <t>Text</t>
  </si>
  <si>
    <t>Combine Employee_Name and Department into one cell, separated by a hyphen.</t>
  </si>
  <si>
    <t>&amp;</t>
  </si>
  <si>
    <t>Mixed</t>
  </si>
  <si>
    <t>Check whether the employee is in IT AND Salary is greater than 70,000.</t>
  </si>
  <si>
    <t>AND, =, &gt;</t>
  </si>
  <si>
    <t>Check whether the employee is in Finance OR salary is below 60,000.</t>
  </si>
  <si>
    <t>OR, =, &lt;</t>
  </si>
  <si>
    <t>Calculate a proposed salary after a 5% increase, then compare it with 80,000.</t>
  </si>
  <si>
    <t>*, +, &gt;</t>
  </si>
  <si>
    <t>Calculate a performance allowance of 2,000 if Performance_Target_Met is 1, otherwise 0. Use IF with a comparison operator.</t>
  </si>
  <si>
    <t>IF, =</t>
  </si>
  <si>
    <t>Create a final eligibility check: Salary &gt;= 75,000 AND (Attendance_Bonus_Eligible = 1 OR Performance_Target_Met = 1).</t>
  </si>
  <si>
    <t>AND, OR, &gt;=, =</t>
  </si>
  <si>
    <t>Excel Operators Homework</t>
  </si>
  <si>
    <t>Use the Employees sheet to answer the questions in the Homework sheet.</t>
  </si>
  <si>
    <t>Use Excel formulas where appropriate. Do not overwrite the original data.</t>
  </si>
  <si>
    <t>Assume Attendance_Bonus_Eligible and Performance_Target_Met use 1 = Yes and 0 = No.</t>
  </si>
  <si>
    <t>Suggested operators: +, -, *, /, ^, %, =, &gt;, &lt;, &gt;=, &lt;=, &lt;&gt;, &amp;, AND, OR, NOT.</t>
  </si>
  <si>
    <t>Save your completed workbook with your answers or add a separate Answers sheet.</t>
  </si>
  <si>
    <t>Upload the answer file to GitHub repository</t>
  </si>
  <si>
    <t>Monthly salary</t>
  </si>
  <si>
    <t>ANSWERS</t>
  </si>
  <si>
    <t>Salary increase 10%</t>
  </si>
  <si>
    <t>Annual bonus8%</t>
  </si>
  <si>
    <t>Salary -60000</t>
  </si>
  <si>
    <t>Pro. allowance</t>
  </si>
  <si>
    <t>Salary&gt;80000</t>
  </si>
  <si>
    <t>Salary=75000</t>
  </si>
  <si>
    <t>Salary&lt;&gt;70000</t>
  </si>
  <si>
    <t>Training hours less than 3</t>
  </si>
  <si>
    <t>AND = &gt;</t>
  </si>
  <si>
    <t>OR = &lt;</t>
  </si>
  <si>
    <t>Performance allowance</t>
  </si>
  <si>
    <t>AND,&gt;=,OR,=</t>
  </si>
  <si>
    <t>*,+,&gt;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</si>
</sst>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.00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2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opLeftCell="B1" workbookViewId="0">
      <pane ySplit="1" topLeftCell="A2" activePane="bottomLeft" state="frozen"/>
      <selection pane="bottomLeft" activeCell="D19" sqref="D19"/>
    </sheetView>
  </sheetViews>
  <sheetFormatPr defaultRowHeight="15" x14ac:dyDescent="0.25"/>
  <cols>
    <col min="1" max="1" width="14" customWidth="1"/>
    <col min="2" max="2" width="16" customWidth="1"/>
    <col min="3" max="5" width="14" customWidth="1"/>
    <col min="6" max="6" width="21" customWidth="1"/>
    <col min="7" max="7" width="20" customWidth="1"/>
    <col min="8" max="8" width="16" customWidth="1"/>
    <col min="9" max="9" width="27" customWidth="1"/>
    <col min="10" max="10" width="24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1001</v>
      </c>
      <c r="B2" s="2" t="s">
        <v>10</v>
      </c>
      <c r="C2" s="2" t="s">
        <v>11</v>
      </c>
      <c r="D2" s="2" t="s">
        <v>12</v>
      </c>
      <c r="E2" s="3">
        <v>93000</v>
      </c>
      <c r="F2" s="4">
        <v>42135</v>
      </c>
      <c r="G2" s="2">
        <v>5</v>
      </c>
      <c r="H2" s="2">
        <v>2</v>
      </c>
      <c r="I2" s="2">
        <v>1</v>
      </c>
      <c r="J2" s="2">
        <v>0</v>
      </c>
    </row>
    <row r="3" spans="1:10" x14ac:dyDescent="0.25">
      <c r="A3" s="2">
        <v>1002</v>
      </c>
      <c r="B3" s="2" t="s">
        <v>13</v>
      </c>
      <c r="C3" s="2" t="s">
        <v>14</v>
      </c>
      <c r="D3" s="2" t="s">
        <v>15</v>
      </c>
      <c r="E3" s="3">
        <v>67000</v>
      </c>
      <c r="F3" s="4">
        <v>43368</v>
      </c>
      <c r="G3" s="2">
        <v>3</v>
      </c>
      <c r="H3" s="2">
        <v>1</v>
      </c>
      <c r="I3" s="2">
        <v>0</v>
      </c>
      <c r="J3" s="2">
        <v>1</v>
      </c>
    </row>
    <row r="4" spans="1:10" x14ac:dyDescent="0.25">
      <c r="A4" s="2">
        <v>1003</v>
      </c>
      <c r="B4" s="2" t="s">
        <v>16</v>
      </c>
      <c r="C4" s="2" t="s">
        <v>11</v>
      </c>
      <c r="D4" s="2" t="s">
        <v>12</v>
      </c>
      <c r="E4" s="3">
        <v>85000</v>
      </c>
      <c r="F4" s="4">
        <v>44365</v>
      </c>
      <c r="G4" s="2">
        <v>4</v>
      </c>
      <c r="H4" s="2">
        <v>3</v>
      </c>
      <c r="I4" s="2">
        <v>1</v>
      </c>
      <c r="J4" s="2">
        <v>1</v>
      </c>
    </row>
    <row r="5" spans="1:10" x14ac:dyDescent="0.25">
      <c r="A5" s="2">
        <v>1004</v>
      </c>
      <c r="B5" s="2" t="s">
        <v>17</v>
      </c>
      <c r="C5" s="2" t="s">
        <v>14</v>
      </c>
      <c r="D5" s="2" t="s">
        <v>15</v>
      </c>
      <c r="E5" s="3">
        <v>71000</v>
      </c>
      <c r="F5" s="4">
        <v>42771</v>
      </c>
      <c r="G5" s="2">
        <v>2</v>
      </c>
      <c r="H5" s="2">
        <v>2</v>
      </c>
      <c r="I5" s="2">
        <v>0</v>
      </c>
      <c r="J5" s="2">
        <v>1</v>
      </c>
    </row>
    <row r="6" spans="1:10" x14ac:dyDescent="0.25">
      <c r="A6" s="2">
        <v>1005</v>
      </c>
      <c r="B6" s="2" t="s">
        <v>18</v>
      </c>
      <c r="C6" s="2" t="s">
        <v>19</v>
      </c>
      <c r="D6" s="2" t="s">
        <v>20</v>
      </c>
      <c r="E6" s="3">
        <v>58000</v>
      </c>
      <c r="F6" s="4">
        <v>43781</v>
      </c>
      <c r="G6" s="2">
        <v>2</v>
      </c>
      <c r="H6" s="2">
        <v>1</v>
      </c>
      <c r="I6" s="2">
        <v>0</v>
      </c>
      <c r="J6" s="2">
        <v>0</v>
      </c>
    </row>
    <row r="7" spans="1:10" x14ac:dyDescent="0.25">
      <c r="A7" s="2">
        <v>1006</v>
      </c>
      <c r="B7" s="2" t="s">
        <v>21</v>
      </c>
      <c r="C7" s="2" t="s">
        <v>14</v>
      </c>
      <c r="D7" s="2" t="s">
        <v>15</v>
      </c>
      <c r="E7" s="3">
        <v>88000</v>
      </c>
      <c r="F7" s="4">
        <v>42571</v>
      </c>
      <c r="G7" s="2">
        <v>5</v>
      </c>
      <c r="H7" s="2">
        <v>4</v>
      </c>
      <c r="I7" s="2">
        <v>1</v>
      </c>
      <c r="J7" s="2">
        <v>1</v>
      </c>
    </row>
    <row r="8" spans="1:10" x14ac:dyDescent="0.25">
      <c r="A8" s="2">
        <v>1007</v>
      </c>
      <c r="B8" s="2" t="s">
        <v>22</v>
      </c>
      <c r="C8" s="2" t="s">
        <v>19</v>
      </c>
      <c r="D8" s="2" t="s">
        <v>20</v>
      </c>
      <c r="E8" s="3">
        <v>62000</v>
      </c>
      <c r="F8" s="4">
        <v>44635</v>
      </c>
      <c r="G8" s="2">
        <v>3</v>
      </c>
      <c r="H8" s="2">
        <v>2</v>
      </c>
      <c r="I8" s="2">
        <v>0</v>
      </c>
      <c r="J8" s="2">
        <v>1</v>
      </c>
    </row>
    <row r="9" spans="1:10" x14ac:dyDescent="0.25">
      <c r="A9" s="2">
        <v>1008</v>
      </c>
      <c r="B9" s="2" t="s">
        <v>23</v>
      </c>
      <c r="C9" s="2" t="s">
        <v>24</v>
      </c>
      <c r="D9" s="2" t="s">
        <v>25</v>
      </c>
      <c r="E9" s="3">
        <v>75000</v>
      </c>
      <c r="F9" s="4">
        <v>43840</v>
      </c>
      <c r="G9" s="2">
        <v>4</v>
      </c>
      <c r="H9" s="2">
        <v>3</v>
      </c>
      <c r="I9" s="2">
        <v>1</v>
      </c>
      <c r="J9" s="2">
        <v>0</v>
      </c>
    </row>
    <row r="10" spans="1:10" x14ac:dyDescent="0.25">
      <c r="A10" s="2">
        <v>1009</v>
      </c>
      <c r="B10" s="2" t="s">
        <v>26</v>
      </c>
      <c r="C10" s="2" t="s">
        <v>11</v>
      </c>
      <c r="D10" s="2" t="s">
        <v>12</v>
      </c>
      <c r="E10" s="3">
        <v>79000</v>
      </c>
      <c r="F10" s="4">
        <v>43699</v>
      </c>
      <c r="G10" s="2">
        <v>3</v>
      </c>
      <c r="H10" s="2">
        <v>2</v>
      </c>
      <c r="I10" s="2">
        <v>0</v>
      </c>
      <c r="J10" s="2">
        <v>1</v>
      </c>
    </row>
    <row r="11" spans="1:10" x14ac:dyDescent="0.25">
      <c r="A11" s="2">
        <v>1010</v>
      </c>
      <c r="B11" s="2" t="s">
        <v>27</v>
      </c>
      <c r="C11" s="2" t="s">
        <v>24</v>
      </c>
      <c r="D11" s="2" t="s">
        <v>25</v>
      </c>
      <c r="E11" s="3">
        <v>69000</v>
      </c>
      <c r="F11" s="4">
        <v>43437</v>
      </c>
      <c r="G11" s="2">
        <v>2</v>
      </c>
      <c r="H11" s="2">
        <v>1</v>
      </c>
      <c r="I11" s="2">
        <v>0</v>
      </c>
      <c r="J11" s="2">
        <v>0</v>
      </c>
    </row>
    <row r="12" spans="1:10" x14ac:dyDescent="0.25">
      <c r="A12" s="2">
        <v>1011</v>
      </c>
      <c r="B12" s="2" t="s">
        <v>28</v>
      </c>
      <c r="C12" s="2" t="s">
        <v>14</v>
      </c>
      <c r="D12" s="2" t="s">
        <v>15</v>
      </c>
      <c r="E12" s="3">
        <v>95000</v>
      </c>
      <c r="F12" s="4">
        <v>41746</v>
      </c>
      <c r="G12" s="2">
        <v>5</v>
      </c>
      <c r="H12" s="2">
        <v>5</v>
      </c>
      <c r="I12" s="2">
        <v>1</v>
      </c>
      <c r="J12" s="2">
        <v>1</v>
      </c>
    </row>
    <row r="13" spans="1:10" x14ac:dyDescent="0.25">
      <c r="A13" s="2">
        <v>1012</v>
      </c>
      <c r="B13" s="2" t="s">
        <v>29</v>
      </c>
      <c r="C13" s="2" t="s">
        <v>19</v>
      </c>
      <c r="D13" s="2" t="s">
        <v>20</v>
      </c>
      <c r="E13" s="3">
        <v>54000</v>
      </c>
      <c r="F13" s="4">
        <v>45078</v>
      </c>
      <c r="G13" s="2">
        <v>1</v>
      </c>
      <c r="H13" s="2">
        <v>1</v>
      </c>
      <c r="I13" s="2">
        <v>0</v>
      </c>
      <c r="J13" s="2">
        <v>0</v>
      </c>
    </row>
    <row r="14" spans="1:10" x14ac:dyDescent="0.25">
      <c r="A14" s="2">
        <v>1013</v>
      </c>
      <c r="B14" s="2" t="s">
        <v>30</v>
      </c>
      <c r="C14" s="2" t="s">
        <v>31</v>
      </c>
      <c r="D14" s="2" t="s">
        <v>32</v>
      </c>
      <c r="E14" s="3">
        <v>72000</v>
      </c>
      <c r="F14" s="4">
        <v>44088</v>
      </c>
      <c r="G14" s="2">
        <v>4</v>
      </c>
      <c r="H14" s="2">
        <v>2</v>
      </c>
      <c r="I14" s="2">
        <v>1</v>
      </c>
      <c r="J14" s="2">
        <v>1</v>
      </c>
    </row>
    <row r="15" spans="1:10" x14ac:dyDescent="0.25">
      <c r="A15" s="2">
        <v>1014</v>
      </c>
      <c r="B15" s="2" t="s">
        <v>33</v>
      </c>
      <c r="C15" s="2" t="s">
        <v>31</v>
      </c>
      <c r="D15" s="2" t="s">
        <v>32</v>
      </c>
      <c r="E15" s="3">
        <v>81000</v>
      </c>
      <c r="F15" s="4">
        <v>43038</v>
      </c>
      <c r="G15" s="2">
        <v>3</v>
      </c>
      <c r="H15" s="2">
        <v>3</v>
      </c>
      <c r="I15" s="2">
        <v>0</v>
      </c>
      <c r="J15" s="2">
        <v>1</v>
      </c>
    </row>
    <row r="16" spans="1:10" x14ac:dyDescent="0.25">
      <c r="A16" s="2">
        <v>1015</v>
      </c>
      <c r="B16" s="2" t="s">
        <v>34</v>
      </c>
      <c r="C16" s="2" t="s">
        <v>11</v>
      </c>
      <c r="D16" s="2" t="s">
        <v>12</v>
      </c>
      <c r="E16" s="3">
        <v>66000</v>
      </c>
      <c r="F16" s="4">
        <v>44585</v>
      </c>
      <c r="G16" s="2">
        <v>2</v>
      </c>
      <c r="H16" s="2">
        <v>2</v>
      </c>
      <c r="I16" s="2">
        <v>1</v>
      </c>
      <c r="J16" s="2">
        <v>0</v>
      </c>
    </row>
  </sheetData>
  <autoFilter ref="A1:J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1" topLeftCell="A14" activePane="bottomLeft" state="frozen"/>
      <selection pane="bottomLeft" activeCell="C19" sqref="C19"/>
    </sheetView>
  </sheetViews>
  <sheetFormatPr defaultRowHeight="15" x14ac:dyDescent="0.25"/>
  <cols>
    <col min="1" max="2" width="14" customWidth="1"/>
    <col min="3" max="3" width="58" customWidth="1"/>
    <col min="4" max="4" width="35" customWidth="1"/>
  </cols>
  <sheetData>
    <row r="1" spans="1:4" ht="30" customHeight="1" x14ac:dyDescent="0.25">
      <c r="A1" s="1" t="s">
        <v>35</v>
      </c>
      <c r="B1" s="1" t="s">
        <v>36</v>
      </c>
      <c r="C1" s="1" t="s">
        <v>37</v>
      </c>
      <c r="D1" s="1" t="s">
        <v>38</v>
      </c>
    </row>
    <row r="2" spans="1:4" ht="45" x14ac:dyDescent="0.25">
      <c r="A2" s="2">
        <v>1</v>
      </c>
      <c r="B2" s="2" t="s">
        <v>39</v>
      </c>
      <c r="C2" s="2" t="s">
        <v>40</v>
      </c>
      <c r="D2" s="2" t="s">
        <v>41</v>
      </c>
    </row>
    <row r="3" spans="1:4" x14ac:dyDescent="0.25">
      <c r="A3" s="2">
        <v>2</v>
      </c>
      <c r="B3" s="2" t="s">
        <v>39</v>
      </c>
      <c r="C3" s="2" t="s">
        <v>42</v>
      </c>
      <c r="D3" s="2" t="s">
        <v>43</v>
      </c>
    </row>
    <row r="4" spans="1:4" x14ac:dyDescent="0.25">
      <c r="A4" s="2">
        <v>3</v>
      </c>
      <c r="B4" s="2" t="s">
        <v>39</v>
      </c>
      <c r="C4" s="2" t="s">
        <v>44</v>
      </c>
      <c r="D4" s="2" t="s">
        <v>43</v>
      </c>
    </row>
    <row r="5" spans="1:4" x14ac:dyDescent="0.25">
      <c r="A5" s="2">
        <v>4</v>
      </c>
      <c r="B5" s="2" t="s">
        <v>39</v>
      </c>
      <c r="C5" s="2" t="s">
        <v>45</v>
      </c>
      <c r="D5" s="2" t="s">
        <v>46</v>
      </c>
    </row>
    <row r="6" spans="1:4" x14ac:dyDescent="0.25">
      <c r="A6" s="2">
        <v>5</v>
      </c>
      <c r="B6" s="2" t="s">
        <v>39</v>
      </c>
      <c r="C6" s="2" t="s">
        <v>47</v>
      </c>
      <c r="D6" s="2" t="s">
        <v>43</v>
      </c>
    </row>
    <row r="7" spans="1:4" ht="30" x14ac:dyDescent="0.25">
      <c r="A7" s="2">
        <v>6</v>
      </c>
      <c r="B7" s="2" t="s">
        <v>48</v>
      </c>
      <c r="C7" s="2" t="s">
        <v>49</v>
      </c>
      <c r="D7" s="2" t="s">
        <v>50</v>
      </c>
    </row>
    <row r="8" spans="1:4" x14ac:dyDescent="0.25">
      <c r="A8" s="2">
        <v>7</v>
      </c>
      <c r="B8" s="2" t="s">
        <v>48</v>
      </c>
      <c r="C8" s="2" t="s">
        <v>51</v>
      </c>
      <c r="D8" s="2" t="s">
        <v>52</v>
      </c>
    </row>
    <row r="9" spans="1:4" x14ac:dyDescent="0.25">
      <c r="A9" s="2">
        <v>8</v>
      </c>
      <c r="B9" s="2" t="s">
        <v>48</v>
      </c>
      <c r="C9" s="2" t="s">
        <v>53</v>
      </c>
      <c r="D9" s="2" t="s">
        <v>54</v>
      </c>
    </row>
    <row r="10" spans="1:4" ht="30" x14ac:dyDescent="0.25">
      <c r="A10" s="2">
        <v>9</v>
      </c>
      <c r="B10" s="2" t="s">
        <v>48</v>
      </c>
      <c r="C10" s="2" t="s">
        <v>55</v>
      </c>
      <c r="D10" s="2" t="s">
        <v>56</v>
      </c>
    </row>
    <row r="11" spans="1:4" x14ac:dyDescent="0.25">
      <c r="A11" s="2">
        <v>10</v>
      </c>
      <c r="B11" s="2" t="s">
        <v>48</v>
      </c>
      <c r="C11" s="2" t="s">
        <v>57</v>
      </c>
      <c r="D11" s="2" t="s">
        <v>58</v>
      </c>
    </row>
    <row r="12" spans="1:4" ht="30" x14ac:dyDescent="0.25">
      <c r="A12" s="2">
        <v>11</v>
      </c>
      <c r="B12" s="2" t="s">
        <v>59</v>
      </c>
      <c r="C12" s="2" t="s">
        <v>60</v>
      </c>
      <c r="D12" s="2" t="s">
        <v>61</v>
      </c>
    </row>
    <row r="13" spans="1:4" x14ac:dyDescent="0.25">
      <c r="A13" s="2">
        <v>12</v>
      </c>
      <c r="B13" s="2" t="s">
        <v>59</v>
      </c>
      <c r="C13" s="2" t="s">
        <v>62</v>
      </c>
      <c r="D13" s="2" t="s">
        <v>63</v>
      </c>
    </row>
    <row r="14" spans="1:4" ht="30" x14ac:dyDescent="0.25">
      <c r="A14" s="2">
        <v>13</v>
      </c>
      <c r="B14" s="2" t="s">
        <v>59</v>
      </c>
      <c r="C14" s="2" t="s">
        <v>64</v>
      </c>
      <c r="D14" s="2" t="s">
        <v>65</v>
      </c>
    </row>
    <row r="15" spans="1:4" ht="30" x14ac:dyDescent="0.25">
      <c r="A15" s="2">
        <v>14</v>
      </c>
      <c r="B15" s="2" t="s">
        <v>59</v>
      </c>
      <c r="C15" s="2" t="s">
        <v>66</v>
      </c>
      <c r="D15" s="2" t="s">
        <v>63</v>
      </c>
    </row>
    <row r="16" spans="1:4" ht="30" x14ac:dyDescent="0.25">
      <c r="A16" s="2">
        <v>15</v>
      </c>
      <c r="B16" s="2" t="s">
        <v>67</v>
      </c>
      <c r="C16" s="2" t="s">
        <v>68</v>
      </c>
      <c r="D16" s="2" t="s">
        <v>69</v>
      </c>
    </row>
    <row r="17" spans="1:4" ht="30" x14ac:dyDescent="0.25">
      <c r="A17" s="2">
        <v>16</v>
      </c>
      <c r="B17" s="2" t="s">
        <v>70</v>
      </c>
      <c r="C17" s="2" t="s">
        <v>71</v>
      </c>
      <c r="D17" s="2" t="s">
        <v>72</v>
      </c>
    </row>
    <row r="18" spans="1:4" ht="30" x14ac:dyDescent="0.25">
      <c r="A18" s="2">
        <v>17</v>
      </c>
      <c r="B18" s="2" t="s">
        <v>70</v>
      </c>
      <c r="C18" s="2" t="s">
        <v>73</v>
      </c>
      <c r="D18" s="2" t="s">
        <v>74</v>
      </c>
    </row>
    <row r="19" spans="1:4" ht="30" x14ac:dyDescent="0.25">
      <c r="A19" s="2">
        <v>18</v>
      </c>
      <c r="B19" s="2" t="s">
        <v>70</v>
      </c>
      <c r="C19" s="2" t="s">
        <v>75</v>
      </c>
      <c r="D19" s="2" t="s">
        <v>76</v>
      </c>
    </row>
    <row r="20" spans="1:4" ht="45" x14ac:dyDescent="0.25">
      <c r="A20" s="2">
        <v>19</v>
      </c>
      <c r="B20" s="2" t="s">
        <v>70</v>
      </c>
      <c r="C20" s="2" t="s">
        <v>77</v>
      </c>
      <c r="D20" s="2" t="s">
        <v>78</v>
      </c>
    </row>
    <row r="21" spans="1:4" ht="45" x14ac:dyDescent="0.25">
      <c r="A21" s="2">
        <v>20</v>
      </c>
      <c r="B21" s="2" t="s">
        <v>70</v>
      </c>
      <c r="C21" s="2" t="s">
        <v>79</v>
      </c>
      <c r="D21" s="2" t="s">
        <v>80</v>
      </c>
    </row>
  </sheetData>
  <autoFilter ref="A1:D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pane ySplit="1" topLeftCell="A2" activePane="bottomLeft" state="frozen"/>
      <selection pane="bottomLeft" activeCell="A8" sqref="A8"/>
    </sheetView>
  </sheetViews>
  <sheetFormatPr defaultRowHeight="15" x14ac:dyDescent="0.25"/>
  <cols>
    <col min="1" max="1" width="58" customWidth="1"/>
  </cols>
  <sheetData>
    <row r="1" spans="1:1" ht="30" customHeight="1" x14ac:dyDescent="0.25">
      <c r="A1" s="1" t="s">
        <v>81</v>
      </c>
    </row>
    <row r="2" spans="1:1" ht="30" x14ac:dyDescent="0.25">
      <c r="A2" s="2" t="s">
        <v>82</v>
      </c>
    </row>
    <row r="3" spans="1:1" ht="30" x14ac:dyDescent="0.25">
      <c r="A3" s="2" t="s">
        <v>83</v>
      </c>
    </row>
    <row r="4" spans="1:1" ht="30" x14ac:dyDescent="0.25">
      <c r="A4" s="2" t="s">
        <v>84</v>
      </c>
    </row>
    <row r="5" spans="1:1" ht="30" x14ac:dyDescent="0.25">
      <c r="A5" s="2" t="s">
        <v>85</v>
      </c>
    </row>
    <row r="6" spans="1:1" ht="30" x14ac:dyDescent="0.25">
      <c r="A6" s="2" t="s">
        <v>86</v>
      </c>
    </row>
    <row r="7" spans="1:1" x14ac:dyDescent="0.25">
      <c r="A7" s="2" t="s">
        <v>87</v>
      </c>
    </row>
  </sheetData>
  <autoFilter ref="A1:A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07B3-6D42-4D62-A5AF-AAC2BAB1E436}">
  <dimension ref="A1:S35"/>
  <sheetViews>
    <sheetView tabSelected="1" topLeftCell="H1" zoomScale="86" zoomScaleNormal="86" workbookViewId="0">
      <selection activeCell="I20" sqref="I20"/>
    </sheetView>
  </sheetViews>
  <sheetFormatPr defaultRowHeight="15" x14ac:dyDescent="0.25"/>
  <cols>
    <col min="1" max="1" width="16.42578125" customWidth="1"/>
    <col min="2" max="2" width="21.7109375" customWidth="1"/>
    <col min="3" max="3" width="15.28515625" customWidth="1"/>
    <col min="4" max="5" width="14" customWidth="1"/>
    <col min="6" max="6" width="21" customWidth="1"/>
    <col min="7" max="7" width="20" customWidth="1"/>
    <col min="8" max="8" width="16" customWidth="1"/>
    <col min="9" max="9" width="28.7109375" customWidth="1"/>
    <col min="10" max="10" width="26.28515625" customWidth="1"/>
    <col min="11" max="11" width="11.140625" customWidth="1"/>
    <col min="14" max="14" width="28.42578125" customWidth="1"/>
    <col min="15" max="15" width="15.5703125" customWidth="1"/>
    <col min="16" max="16" width="14.42578125" customWidth="1"/>
    <col min="17" max="17" width="13.28515625" customWidth="1"/>
    <col min="18" max="18" width="22.42578125" customWidth="1"/>
    <col min="19" max="19" width="22.5703125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1001</v>
      </c>
      <c r="B2" s="2" t="s">
        <v>10</v>
      </c>
      <c r="C2" s="2" t="s">
        <v>11</v>
      </c>
      <c r="D2" s="2" t="s">
        <v>12</v>
      </c>
      <c r="E2" s="3">
        <v>93000</v>
      </c>
      <c r="F2" s="4">
        <v>42135</v>
      </c>
      <c r="G2" s="2">
        <v>5</v>
      </c>
      <c r="H2" s="2">
        <v>2</v>
      </c>
      <c r="I2" s="2">
        <v>1</v>
      </c>
      <c r="J2" s="2">
        <v>0</v>
      </c>
    </row>
    <row r="3" spans="1:10" x14ac:dyDescent="0.25">
      <c r="A3" s="2">
        <v>1002</v>
      </c>
      <c r="B3" s="2" t="s">
        <v>13</v>
      </c>
      <c r="C3" s="2" t="s">
        <v>14</v>
      </c>
      <c r="D3" s="2" t="s">
        <v>15</v>
      </c>
      <c r="E3" s="3">
        <v>67000</v>
      </c>
      <c r="F3" s="4">
        <v>43368</v>
      </c>
      <c r="G3" s="2">
        <v>3</v>
      </c>
      <c r="H3" s="2">
        <v>1</v>
      </c>
      <c r="I3" s="2">
        <v>0</v>
      </c>
      <c r="J3" s="2">
        <v>1</v>
      </c>
    </row>
    <row r="4" spans="1:10" x14ac:dyDescent="0.25">
      <c r="A4" s="2">
        <v>1003</v>
      </c>
      <c r="B4" s="2" t="s">
        <v>16</v>
      </c>
      <c r="C4" s="2" t="s">
        <v>11</v>
      </c>
      <c r="D4" s="2" t="s">
        <v>12</v>
      </c>
      <c r="E4" s="3">
        <v>85000</v>
      </c>
      <c r="F4" s="4">
        <v>44365</v>
      </c>
      <c r="G4" s="2">
        <v>4</v>
      </c>
      <c r="H4" s="2">
        <v>3</v>
      </c>
      <c r="I4" s="2">
        <v>1</v>
      </c>
      <c r="J4" s="2">
        <v>1</v>
      </c>
    </row>
    <row r="5" spans="1:10" x14ac:dyDescent="0.25">
      <c r="A5" s="2">
        <v>1004</v>
      </c>
      <c r="B5" s="2" t="s">
        <v>17</v>
      </c>
      <c r="C5" s="2" t="s">
        <v>14</v>
      </c>
      <c r="D5" s="2" t="s">
        <v>15</v>
      </c>
      <c r="E5" s="3">
        <v>71000</v>
      </c>
      <c r="F5" s="4">
        <v>42771</v>
      </c>
      <c r="G5" s="2">
        <v>2</v>
      </c>
      <c r="H5" s="2">
        <v>2</v>
      </c>
      <c r="I5" s="2">
        <v>0</v>
      </c>
      <c r="J5" s="2">
        <v>1</v>
      </c>
    </row>
    <row r="6" spans="1:10" x14ac:dyDescent="0.25">
      <c r="A6" s="2">
        <v>1005</v>
      </c>
      <c r="B6" s="2" t="s">
        <v>18</v>
      </c>
      <c r="C6" s="2" t="s">
        <v>19</v>
      </c>
      <c r="D6" s="2" t="s">
        <v>20</v>
      </c>
      <c r="E6" s="3">
        <v>58000</v>
      </c>
      <c r="F6" s="4">
        <v>43781</v>
      </c>
      <c r="G6" s="2">
        <v>2</v>
      </c>
      <c r="H6" s="2">
        <v>1</v>
      </c>
      <c r="I6" s="2">
        <v>0</v>
      </c>
      <c r="J6" s="2">
        <v>0</v>
      </c>
    </row>
    <row r="7" spans="1:10" x14ac:dyDescent="0.25">
      <c r="A7" s="2">
        <v>1006</v>
      </c>
      <c r="B7" s="2" t="s">
        <v>21</v>
      </c>
      <c r="C7" s="2" t="s">
        <v>14</v>
      </c>
      <c r="D7" s="2" t="s">
        <v>15</v>
      </c>
      <c r="E7" s="3">
        <v>88000</v>
      </c>
      <c r="F7" s="4">
        <v>42571</v>
      </c>
      <c r="G7" s="2">
        <v>5</v>
      </c>
      <c r="H7" s="2">
        <v>4</v>
      </c>
      <c r="I7" s="2">
        <v>1</v>
      </c>
      <c r="J7" s="2">
        <v>1</v>
      </c>
    </row>
    <row r="8" spans="1:10" x14ac:dyDescent="0.25">
      <c r="A8" s="2">
        <v>1007</v>
      </c>
      <c r="B8" s="2" t="s">
        <v>22</v>
      </c>
      <c r="C8" s="2" t="s">
        <v>19</v>
      </c>
      <c r="D8" s="2" t="s">
        <v>20</v>
      </c>
      <c r="E8" s="3">
        <v>62000</v>
      </c>
      <c r="F8" s="4">
        <v>44635</v>
      </c>
      <c r="G8" s="2">
        <v>3</v>
      </c>
      <c r="H8" s="2">
        <v>2</v>
      </c>
      <c r="I8" s="2">
        <v>0</v>
      </c>
      <c r="J8" s="2">
        <v>1</v>
      </c>
    </row>
    <row r="9" spans="1:10" x14ac:dyDescent="0.25">
      <c r="A9" s="2">
        <v>1008</v>
      </c>
      <c r="B9" s="2" t="s">
        <v>23</v>
      </c>
      <c r="C9" s="2" t="s">
        <v>24</v>
      </c>
      <c r="D9" s="2" t="s">
        <v>25</v>
      </c>
      <c r="E9" s="3">
        <v>75000</v>
      </c>
      <c r="F9" s="4">
        <v>43840</v>
      </c>
      <c r="G9" s="2">
        <v>4</v>
      </c>
      <c r="H9" s="2">
        <v>3</v>
      </c>
      <c r="I9" s="2">
        <v>1</v>
      </c>
      <c r="J9" s="2">
        <v>0</v>
      </c>
    </row>
    <row r="10" spans="1:10" x14ac:dyDescent="0.25">
      <c r="A10" s="2">
        <v>1009</v>
      </c>
      <c r="B10" s="2" t="s">
        <v>26</v>
      </c>
      <c r="C10" s="2" t="s">
        <v>11</v>
      </c>
      <c r="D10" s="2" t="s">
        <v>12</v>
      </c>
      <c r="E10" s="3">
        <v>79000</v>
      </c>
      <c r="F10" s="4">
        <v>43699</v>
      </c>
      <c r="G10" s="2">
        <v>3</v>
      </c>
      <c r="H10" s="2">
        <v>2</v>
      </c>
      <c r="I10" s="2">
        <v>0</v>
      </c>
      <c r="J10" s="2">
        <v>1</v>
      </c>
    </row>
    <row r="11" spans="1:10" x14ac:dyDescent="0.25">
      <c r="A11" s="2">
        <v>1010</v>
      </c>
      <c r="B11" s="2" t="s">
        <v>27</v>
      </c>
      <c r="C11" s="2" t="s">
        <v>24</v>
      </c>
      <c r="D11" s="2" t="s">
        <v>25</v>
      </c>
      <c r="E11" s="3">
        <v>69000</v>
      </c>
      <c r="F11" s="4">
        <v>43437</v>
      </c>
      <c r="G11" s="2">
        <v>2</v>
      </c>
      <c r="H11" s="2">
        <v>1</v>
      </c>
      <c r="I11" s="2">
        <v>0</v>
      </c>
      <c r="J11" s="2">
        <v>0</v>
      </c>
    </row>
    <row r="12" spans="1:10" x14ac:dyDescent="0.25">
      <c r="A12" s="2">
        <v>1011</v>
      </c>
      <c r="B12" s="2" t="s">
        <v>28</v>
      </c>
      <c r="C12" s="2" t="s">
        <v>14</v>
      </c>
      <c r="D12" s="2" t="s">
        <v>15</v>
      </c>
      <c r="E12" s="3">
        <v>95000</v>
      </c>
      <c r="F12" s="4">
        <v>41746</v>
      </c>
      <c r="G12" s="2">
        <v>5</v>
      </c>
      <c r="H12" s="2">
        <v>5</v>
      </c>
      <c r="I12" s="2">
        <v>1</v>
      </c>
      <c r="J12" s="2">
        <v>1</v>
      </c>
    </row>
    <row r="13" spans="1:10" x14ac:dyDescent="0.25">
      <c r="A13" s="2">
        <v>1012</v>
      </c>
      <c r="B13" s="2" t="s">
        <v>29</v>
      </c>
      <c r="C13" s="2" t="s">
        <v>19</v>
      </c>
      <c r="D13" s="2" t="s">
        <v>20</v>
      </c>
      <c r="E13" s="3">
        <v>54000</v>
      </c>
      <c r="F13" s="4">
        <v>45078</v>
      </c>
      <c r="G13" s="2">
        <v>1</v>
      </c>
      <c r="H13" s="2">
        <v>1</v>
      </c>
      <c r="I13" s="2">
        <v>0</v>
      </c>
      <c r="J13" s="2">
        <v>0</v>
      </c>
    </row>
    <row r="14" spans="1:10" x14ac:dyDescent="0.25">
      <c r="A14" s="2">
        <v>1013</v>
      </c>
      <c r="B14" s="2" t="s">
        <v>30</v>
      </c>
      <c r="C14" s="2" t="s">
        <v>31</v>
      </c>
      <c r="D14" s="2" t="s">
        <v>32</v>
      </c>
      <c r="E14" s="3">
        <v>72000</v>
      </c>
      <c r="F14" s="4">
        <v>44088</v>
      </c>
      <c r="G14" s="2">
        <v>4</v>
      </c>
      <c r="H14" s="2">
        <v>2</v>
      </c>
      <c r="I14" s="2">
        <v>1</v>
      </c>
      <c r="J14" s="2">
        <v>1</v>
      </c>
    </row>
    <row r="15" spans="1:10" x14ac:dyDescent="0.25">
      <c r="A15" s="2">
        <v>1014</v>
      </c>
      <c r="B15" s="2" t="s">
        <v>33</v>
      </c>
      <c r="C15" s="2" t="s">
        <v>31</v>
      </c>
      <c r="D15" s="2" t="s">
        <v>32</v>
      </c>
      <c r="E15" s="3">
        <v>81000</v>
      </c>
      <c r="F15" s="4">
        <v>43038</v>
      </c>
      <c r="G15" s="2">
        <v>3</v>
      </c>
      <c r="H15" s="2">
        <v>3</v>
      </c>
      <c r="I15" s="2">
        <v>0</v>
      </c>
      <c r="J15" s="2">
        <v>1</v>
      </c>
    </row>
    <row r="16" spans="1:10" x14ac:dyDescent="0.25">
      <c r="A16" s="2">
        <v>1015</v>
      </c>
      <c r="B16" s="2" t="s">
        <v>34</v>
      </c>
      <c r="C16" s="2" t="s">
        <v>11</v>
      </c>
      <c r="D16" s="2" t="s">
        <v>12</v>
      </c>
      <c r="E16" s="3">
        <v>66000</v>
      </c>
      <c r="F16" s="4">
        <v>44585</v>
      </c>
      <c r="G16" s="2">
        <v>2</v>
      </c>
      <c r="H16" s="2">
        <v>2</v>
      </c>
      <c r="I16" s="2">
        <v>1</v>
      </c>
      <c r="J16" s="2">
        <v>0</v>
      </c>
    </row>
    <row r="18" spans="1:19" ht="18.75" x14ac:dyDescent="0.3">
      <c r="F18" s="5" t="s">
        <v>89</v>
      </c>
    </row>
    <row r="20" spans="1:19" ht="18.75" x14ac:dyDescent="0.3">
      <c r="A20" s="5" t="s">
        <v>88</v>
      </c>
      <c r="B20" s="5" t="s">
        <v>90</v>
      </c>
      <c r="C20" s="5" t="s">
        <v>91</v>
      </c>
      <c r="D20" s="5" t="s">
        <v>92</v>
      </c>
      <c r="E20" s="5" t="s">
        <v>93</v>
      </c>
      <c r="F20" s="5" t="s">
        <v>94</v>
      </c>
      <c r="G20" s="5" t="s">
        <v>95</v>
      </c>
      <c r="H20" s="5" t="s">
        <v>96</v>
      </c>
      <c r="I20" s="5" t="s">
        <v>97</v>
      </c>
      <c r="J20" s="8" t="s">
        <v>61</v>
      </c>
      <c r="K20" s="8" t="s">
        <v>63</v>
      </c>
      <c r="L20" s="8" t="s">
        <v>65</v>
      </c>
      <c r="M20" s="8" t="s">
        <v>63</v>
      </c>
      <c r="N20" s="8" t="s">
        <v>69</v>
      </c>
      <c r="O20" s="8" t="s">
        <v>98</v>
      </c>
      <c r="P20" s="8" t="s">
        <v>99</v>
      </c>
      <c r="Q20" s="8" t="s">
        <v>102</v>
      </c>
      <c r="R20" s="8" t="s">
        <v>100</v>
      </c>
      <c r="S20" s="8" t="s">
        <v>101</v>
      </c>
    </row>
    <row r="21" spans="1:19" x14ac:dyDescent="0.25">
      <c r="A21">
        <f>E2/12</f>
        <v>7750</v>
      </c>
      <c r="B21">
        <f>A21*110/100</f>
        <v>8525</v>
      </c>
      <c r="C21">
        <f>E2*8%</f>
        <v>7440</v>
      </c>
      <c r="D21" s="6">
        <f>E2-60000</f>
        <v>33000</v>
      </c>
      <c r="E21">
        <f>G2*1500</f>
        <v>7500</v>
      </c>
      <c r="F21" t="b">
        <f>E2&gt;80000</f>
        <v>1</v>
      </c>
      <c r="G21" t="b">
        <f>E2=75000</f>
        <v>0</v>
      </c>
      <c r="H21" t="b">
        <f>E2&lt;&gt;70000</f>
        <v>1</v>
      </c>
      <c r="I21" t="b">
        <f>H2&lt;3</f>
        <v>1</v>
      </c>
      <c r="J21" t="b">
        <f>AND(E2&gt;75000,J2=1)</f>
        <v>0</v>
      </c>
      <c r="K21" t="b">
        <f>OR(C2="Finance",C2="IT")</f>
        <v>1</v>
      </c>
      <c r="L21" t="b">
        <f>NOT(J2=1)</f>
        <v>1</v>
      </c>
      <c r="M21" t="b">
        <f>OR(E2&gt;80000,G2&gt;4)</f>
        <v>1</v>
      </c>
      <c r="N21" t="str">
        <f>B2&amp;"-"&amp;C2</f>
        <v>Ava Rodriguez-Finance</v>
      </c>
      <c r="O21" t="b">
        <f>AND(C2="IT",E2&gt;70000)</f>
        <v>0</v>
      </c>
      <c r="P21" t="b">
        <f>OR(C2="Finance",E2&lt;60000)</f>
        <v>1</v>
      </c>
      <c r="Q21" t="b">
        <f>(E2+E2*5%)&gt;80000</f>
        <v>1</v>
      </c>
      <c r="R21" s="7">
        <f>IF(J2=1,2000,0)</f>
        <v>0</v>
      </c>
      <c r="S21" t="b">
        <f>AND(E2&gt;=75000,OR(I2=1,J2=1))</f>
        <v>1</v>
      </c>
    </row>
    <row r="22" spans="1:19" x14ac:dyDescent="0.25">
      <c r="A22">
        <f t="shared" ref="A22:A35" si="0">E3/12</f>
        <v>5583.333333333333</v>
      </c>
      <c r="B22">
        <f t="shared" ref="B22:B35" si="1">A22*110/100</f>
        <v>6141.6666666666661</v>
      </c>
      <c r="C22">
        <f t="shared" ref="C22:C35" si="2">E3*8%</f>
        <v>5360</v>
      </c>
      <c r="D22" s="6">
        <f t="shared" ref="D22:D35" si="3">E3-60000</f>
        <v>7000</v>
      </c>
      <c r="E22">
        <f t="shared" ref="E22:E35" si="4">G3*1500</f>
        <v>4500</v>
      </c>
      <c r="F22" t="b">
        <f t="shared" ref="F22:F35" si="5">E3&gt;80000</f>
        <v>0</v>
      </c>
      <c r="G22" t="b">
        <f t="shared" ref="G22:G35" si="6">E3=75000</f>
        <v>0</v>
      </c>
      <c r="H22" t="b">
        <f t="shared" ref="H22:H35" si="7">E3&lt;&gt;70000</f>
        <v>1</v>
      </c>
      <c r="I22" t="b">
        <f t="shared" ref="I22:I35" si="8">H3&lt;3</f>
        <v>1</v>
      </c>
      <c r="J22" t="b">
        <f t="shared" ref="J22:J35" si="9">AND(E3&gt;75000,J3=1)</f>
        <v>0</v>
      </c>
      <c r="K22" t="b">
        <f t="shared" ref="K22:K35" si="10">OR(C3="Finance",C3="IT")</f>
        <v>1</v>
      </c>
      <c r="L22" t="b">
        <f t="shared" ref="L22:L35" si="11">NOT(J3=1)</f>
        <v>0</v>
      </c>
      <c r="M22" t="b">
        <f t="shared" ref="M22:M35" si="12">OR(E3&gt;80000,G3&gt;4)</f>
        <v>0</v>
      </c>
      <c r="N22" t="str">
        <f t="shared" ref="N22:N35" si="13">B3&amp;"-"&amp;C3</f>
        <v>David Johnson-IT</v>
      </c>
      <c r="O22" t="b">
        <f t="shared" ref="O22:O35" si="14">AND(C3="IT",E3&gt;70000)</f>
        <v>0</v>
      </c>
      <c r="P22" t="b">
        <f t="shared" ref="P22:P35" si="15">OR(C3="Finance",E3&lt;60000)</f>
        <v>0</v>
      </c>
      <c r="Q22" t="b">
        <f t="shared" ref="Q22:Q39" si="16">(E3+E3*5%)&gt;80000</f>
        <v>0</v>
      </c>
      <c r="R22" s="7">
        <f t="shared" ref="R22:R35" si="17">IF(J3=1,2000,0)</f>
        <v>2000</v>
      </c>
      <c r="S22" t="b">
        <f t="shared" ref="S22:S35" si="18">AND(E3&gt;=75000,OR(I3=1,J3=1))</f>
        <v>0</v>
      </c>
    </row>
    <row r="23" spans="1:19" x14ac:dyDescent="0.25">
      <c r="A23">
        <f t="shared" si="0"/>
        <v>7083.333333333333</v>
      </c>
      <c r="B23">
        <f t="shared" si="1"/>
        <v>7791.6666666666661</v>
      </c>
      <c r="C23">
        <f t="shared" si="2"/>
        <v>6800</v>
      </c>
      <c r="D23" s="6">
        <f t="shared" si="3"/>
        <v>25000</v>
      </c>
      <c r="E23">
        <f t="shared" si="4"/>
        <v>6000</v>
      </c>
      <c r="F23" t="b">
        <f t="shared" si="5"/>
        <v>1</v>
      </c>
      <c r="G23" t="b">
        <f t="shared" si="6"/>
        <v>0</v>
      </c>
      <c r="H23" t="b">
        <f t="shared" si="7"/>
        <v>1</v>
      </c>
      <c r="I23" t="b">
        <f t="shared" si="8"/>
        <v>0</v>
      </c>
      <c r="J23" t="b">
        <f t="shared" si="9"/>
        <v>1</v>
      </c>
      <c r="K23" t="b">
        <f t="shared" si="10"/>
        <v>1</v>
      </c>
      <c r="L23" t="b">
        <f t="shared" si="11"/>
        <v>0</v>
      </c>
      <c r="M23" t="b">
        <f t="shared" si="12"/>
        <v>1</v>
      </c>
      <c r="N23" t="str">
        <f t="shared" si="13"/>
        <v>Chris Wilson-Finance</v>
      </c>
      <c r="O23" t="b">
        <f t="shared" si="14"/>
        <v>0</v>
      </c>
      <c r="P23" t="b">
        <f t="shared" si="15"/>
        <v>1</v>
      </c>
      <c r="Q23" t="b">
        <f t="shared" si="16"/>
        <v>1</v>
      </c>
      <c r="R23" s="7">
        <f t="shared" si="17"/>
        <v>2000</v>
      </c>
      <c r="S23" t="b">
        <f t="shared" si="18"/>
        <v>1</v>
      </c>
    </row>
    <row r="24" spans="1:19" x14ac:dyDescent="0.25">
      <c r="A24">
        <f t="shared" si="0"/>
        <v>5916.666666666667</v>
      </c>
      <c r="B24">
        <f t="shared" si="1"/>
        <v>6508.3333333333339</v>
      </c>
      <c r="C24">
        <f t="shared" si="2"/>
        <v>5680</v>
      </c>
      <c r="D24" s="6">
        <f t="shared" si="3"/>
        <v>11000</v>
      </c>
      <c r="E24">
        <f t="shared" si="4"/>
        <v>3000</v>
      </c>
      <c r="F24" t="b">
        <f t="shared" si="5"/>
        <v>0</v>
      </c>
      <c r="G24" t="b">
        <f t="shared" si="6"/>
        <v>0</v>
      </c>
      <c r="H24" t="b">
        <f t="shared" si="7"/>
        <v>1</v>
      </c>
      <c r="I24" t="b">
        <f t="shared" si="8"/>
        <v>1</v>
      </c>
      <c r="J24" t="b">
        <f t="shared" si="9"/>
        <v>0</v>
      </c>
      <c r="K24" t="b">
        <f t="shared" si="10"/>
        <v>1</v>
      </c>
      <c r="L24" t="b">
        <f t="shared" si="11"/>
        <v>0</v>
      </c>
      <c r="M24" t="b">
        <f t="shared" si="12"/>
        <v>0</v>
      </c>
      <c r="N24" t="str">
        <f t="shared" si="13"/>
        <v>Emily Davis-IT</v>
      </c>
      <c r="O24" t="b">
        <f t="shared" si="14"/>
        <v>1</v>
      </c>
      <c r="P24" t="b">
        <f t="shared" si="15"/>
        <v>0</v>
      </c>
      <c r="Q24" t="b">
        <f t="shared" si="16"/>
        <v>0</v>
      </c>
      <c r="R24" s="7">
        <f t="shared" si="17"/>
        <v>2000</v>
      </c>
      <c r="S24" t="b">
        <f t="shared" si="18"/>
        <v>0</v>
      </c>
    </row>
    <row r="25" spans="1:19" x14ac:dyDescent="0.25">
      <c r="A25">
        <f t="shared" si="0"/>
        <v>4833.333333333333</v>
      </c>
      <c r="B25">
        <f t="shared" si="1"/>
        <v>5316.6666666666661</v>
      </c>
      <c r="C25">
        <f t="shared" si="2"/>
        <v>4640</v>
      </c>
      <c r="D25" s="6">
        <f t="shared" si="3"/>
        <v>-2000</v>
      </c>
      <c r="E25">
        <f t="shared" si="4"/>
        <v>3000</v>
      </c>
      <c r="F25" t="b">
        <f t="shared" si="5"/>
        <v>0</v>
      </c>
      <c r="G25" t="b">
        <f t="shared" si="6"/>
        <v>0</v>
      </c>
      <c r="H25" t="b">
        <f t="shared" si="7"/>
        <v>1</v>
      </c>
      <c r="I25" t="b">
        <f t="shared" si="8"/>
        <v>1</v>
      </c>
      <c r="J25" t="b">
        <f t="shared" si="9"/>
        <v>0</v>
      </c>
      <c r="K25" t="b">
        <f t="shared" si="10"/>
        <v>0</v>
      </c>
      <c r="L25" t="b">
        <f t="shared" si="11"/>
        <v>1</v>
      </c>
      <c r="M25" t="b">
        <f t="shared" si="12"/>
        <v>0</v>
      </c>
      <c r="N25" t="str">
        <f t="shared" si="13"/>
        <v>Sophia Brown-HR</v>
      </c>
      <c r="O25" t="b">
        <f t="shared" si="14"/>
        <v>0</v>
      </c>
      <c r="P25" t="b">
        <f t="shared" si="15"/>
        <v>1</v>
      </c>
      <c r="Q25" t="b">
        <f t="shared" si="16"/>
        <v>0</v>
      </c>
      <c r="R25" s="7">
        <f t="shared" si="17"/>
        <v>0</v>
      </c>
      <c r="S25" t="b">
        <f t="shared" si="18"/>
        <v>0</v>
      </c>
    </row>
    <row r="26" spans="1:19" x14ac:dyDescent="0.25">
      <c r="A26">
        <f t="shared" si="0"/>
        <v>7333.333333333333</v>
      </c>
      <c r="B26">
        <f t="shared" si="1"/>
        <v>8066.6666666666661</v>
      </c>
      <c r="C26">
        <f t="shared" si="2"/>
        <v>7040</v>
      </c>
      <c r="D26" s="6">
        <f t="shared" si="3"/>
        <v>28000</v>
      </c>
      <c r="E26">
        <f t="shared" si="4"/>
        <v>7500</v>
      </c>
      <c r="F26" t="b">
        <f t="shared" si="5"/>
        <v>1</v>
      </c>
      <c r="G26" t="b">
        <f t="shared" si="6"/>
        <v>0</v>
      </c>
      <c r="H26" t="b">
        <f t="shared" si="7"/>
        <v>1</v>
      </c>
      <c r="I26" t="b">
        <f t="shared" si="8"/>
        <v>0</v>
      </c>
      <c r="J26" t="b">
        <f t="shared" si="9"/>
        <v>1</v>
      </c>
      <c r="K26" t="b">
        <f t="shared" si="10"/>
        <v>1</v>
      </c>
      <c r="L26" t="b">
        <f t="shared" si="11"/>
        <v>0</v>
      </c>
      <c r="M26" t="b">
        <f t="shared" si="12"/>
        <v>1</v>
      </c>
      <c r="N26" t="str">
        <f t="shared" si="13"/>
        <v>Michael Smith-IT</v>
      </c>
      <c r="O26" t="b">
        <f t="shared" si="14"/>
        <v>1</v>
      </c>
      <c r="P26" t="b">
        <f t="shared" si="15"/>
        <v>0</v>
      </c>
      <c r="Q26" t="b">
        <f t="shared" si="16"/>
        <v>1</v>
      </c>
      <c r="R26" s="7">
        <f t="shared" si="17"/>
        <v>2000</v>
      </c>
      <c r="S26" t="b">
        <f t="shared" si="18"/>
        <v>1</v>
      </c>
    </row>
    <row r="27" spans="1:19" x14ac:dyDescent="0.25">
      <c r="A27">
        <f t="shared" si="0"/>
        <v>5166.666666666667</v>
      </c>
      <c r="B27">
        <f t="shared" si="1"/>
        <v>5683.3333333333339</v>
      </c>
      <c r="C27">
        <f t="shared" si="2"/>
        <v>4960</v>
      </c>
      <c r="D27" s="6">
        <f t="shared" si="3"/>
        <v>2000</v>
      </c>
      <c r="E27">
        <f t="shared" si="4"/>
        <v>4500</v>
      </c>
      <c r="F27" t="b">
        <f t="shared" si="5"/>
        <v>0</v>
      </c>
      <c r="G27" t="b">
        <f t="shared" si="6"/>
        <v>0</v>
      </c>
      <c r="H27" t="b">
        <f t="shared" si="7"/>
        <v>1</v>
      </c>
      <c r="I27" t="b">
        <f t="shared" si="8"/>
        <v>1</v>
      </c>
      <c r="J27" t="b">
        <f t="shared" si="9"/>
        <v>0</v>
      </c>
      <c r="K27" t="b">
        <f t="shared" si="10"/>
        <v>0</v>
      </c>
      <c r="L27" t="b">
        <f t="shared" si="11"/>
        <v>0</v>
      </c>
      <c r="M27" t="b">
        <f t="shared" si="12"/>
        <v>0</v>
      </c>
      <c r="N27" t="str">
        <f t="shared" si="13"/>
        <v>Olivia Taylor-HR</v>
      </c>
      <c r="O27" t="b">
        <f t="shared" si="14"/>
        <v>0</v>
      </c>
      <c r="P27" t="b">
        <f t="shared" si="15"/>
        <v>0</v>
      </c>
      <c r="Q27" t="b">
        <f t="shared" si="16"/>
        <v>0</v>
      </c>
      <c r="R27" s="7">
        <f t="shared" si="17"/>
        <v>2000</v>
      </c>
      <c r="S27" t="b">
        <f t="shared" si="18"/>
        <v>0</v>
      </c>
    </row>
    <row r="28" spans="1:19" x14ac:dyDescent="0.25">
      <c r="A28">
        <f t="shared" si="0"/>
        <v>6250</v>
      </c>
      <c r="B28">
        <f t="shared" si="1"/>
        <v>6875</v>
      </c>
      <c r="C28">
        <f t="shared" si="2"/>
        <v>6000</v>
      </c>
      <c r="D28" s="6">
        <f t="shared" si="3"/>
        <v>15000</v>
      </c>
      <c r="E28">
        <f t="shared" si="4"/>
        <v>6000</v>
      </c>
      <c r="F28" t="b">
        <f t="shared" si="5"/>
        <v>0</v>
      </c>
      <c r="G28" t="b">
        <f t="shared" si="6"/>
        <v>1</v>
      </c>
      <c r="H28" t="b">
        <f t="shared" si="7"/>
        <v>1</v>
      </c>
      <c r="I28" t="b">
        <f t="shared" si="8"/>
        <v>0</v>
      </c>
      <c r="J28" t="b">
        <f t="shared" si="9"/>
        <v>0</v>
      </c>
      <c r="K28" t="b">
        <f t="shared" si="10"/>
        <v>0</v>
      </c>
      <c r="L28" t="b">
        <f t="shared" si="11"/>
        <v>1</v>
      </c>
      <c r="M28" t="b">
        <f t="shared" si="12"/>
        <v>0</v>
      </c>
      <c r="N28" t="str">
        <f t="shared" si="13"/>
        <v>James Anderson-Marketing</v>
      </c>
      <c r="O28" t="b">
        <f t="shared" si="14"/>
        <v>0</v>
      </c>
      <c r="P28" t="b">
        <f t="shared" si="15"/>
        <v>0</v>
      </c>
      <c r="Q28" t="b">
        <f t="shared" si="16"/>
        <v>0</v>
      </c>
      <c r="R28" s="7">
        <f t="shared" si="17"/>
        <v>0</v>
      </c>
      <c r="S28" t="b">
        <f t="shared" si="18"/>
        <v>1</v>
      </c>
    </row>
    <row r="29" spans="1:19" x14ac:dyDescent="0.25">
      <c r="A29">
        <f t="shared" si="0"/>
        <v>6583.333333333333</v>
      </c>
      <c r="B29">
        <f t="shared" si="1"/>
        <v>7241.6666666666661</v>
      </c>
      <c r="C29">
        <f t="shared" si="2"/>
        <v>6320</v>
      </c>
      <c r="D29" s="6">
        <f t="shared" si="3"/>
        <v>19000</v>
      </c>
      <c r="E29">
        <f t="shared" si="4"/>
        <v>4500</v>
      </c>
      <c r="F29" t="b">
        <f t="shared" si="5"/>
        <v>0</v>
      </c>
      <c r="G29" t="b">
        <f t="shared" si="6"/>
        <v>0</v>
      </c>
      <c r="H29" t="b">
        <f t="shared" si="7"/>
        <v>1</v>
      </c>
      <c r="I29" t="b">
        <f t="shared" si="8"/>
        <v>1</v>
      </c>
      <c r="J29" t="b">
        <f t="shared" si="9"/>
        <v>1</v>
      </c>
      <c r="K29" t="b">
        <f t="shared" si="10"/>
        <v>1</v>
      </c>
      <c r="L29" t="b">
        <f t="shared" si="11"/>
        <v>0</v>
      </c>
      <c r="M29" t="b">
        <f t="shared" si="12"/>
        <v>0</v>
      </c>
      <c r="N29" t="str">
        <f t="shared" si="13"/>
        <v>Emma Thomas-Finance</v>
      </c>
      <c r="O29" t="b">
        <f t="shared" si="14"/>
        <v>0</v>
      </c>
      <c r="P29" t="b">
        <f t="shared" si="15"/>
        <v>1</v>
      </c>
      <c r="Q29" t="b">
        <f t="shared" si="16"/>
        <v>1</v>
      </c>
      <c r="R29" s="7">
        <f t="shared" si="17"/>
        <v>2000</v>
      </c>
      <c r="S29" t="b">
        <f t="shared" si="18"/>
        <v>1</v>
      </c>
    </row>
    <row r="30" spans="1:19" x14ac:dyDescent="0.25">
      <c r="A30">
        <f t="shared" si="0"/>
        <v>5750</v>
      </c>
      <c r="B30">
        <f t="shared" si="1"/>
        <v>6325</v>
      </c>
      <c r="C30">
        <f t="shared" si="2"/>
        <v>5520</v>
      </c>
      <c r="D30" s="6">
        <f t="shared" si="3"/>
        <v>9000</v>
      </c>
      <c r="E30">
        <f t="shared" si="4"/>
        <v>3000</v>
      </c>
      <c r="F30" t="b">
        <f t="shared" si="5"/>
        <v>0</v>
      </c>
      <c r="G30" t="b">
        <f t="shared" si="6"/>
        <v>0</v>
      </c>
      <c r="H30" t="b">
        <f t="shared" si="7"/>
        <v>1</v>
      </c>
      <c r="I30" t="b">
        <f t="shared" si="8"/>
        <v>1</v>
      </c>
      <c r="J30" t="b">
        <f t="shared" si="9"/>
        <v>0</v>
      </c>
      <c r="K30" t="b">
        <f t="shared" si="10"/>
        <v>0</v>
      </c>
      <c r="L30" t="b">
        <f t="shared" si="11"/>
        <v>1</v>
      </c>
      <c r="M30" t="b">
        <f t="shared" si="12"/>
        <v>0</v>
      </c>
      <c r="N30" t="str">
        <f t="shared" si="13"/>
        <v>Daniel White-Marketing</v>
      </c>
      <c r="O30" t="b">
        <f t="shared" si="14"/>
        <v>0</v>
      </c>
      <c r="P30" t="b">
        <f t="shared" si="15"/>
        <v>0</v>
      </c>
      <c r="Q30" t="b">
        <f t="shared" si="16"/>
        <v>0</v>
      </c>
      <c r="R30" s="7">
        <f t="shared" si="17"/>
        <v>0</v>
      </c>
      <c r="S30" t="b">
        <f t="shared" si="18"/>
        <v>0</v>
      </c>
    </row>
    <row r="31" spans="1:19" x14ac:dyDescent="0.25">
      <c r="A31">
        <f t="shared" si="0"/>
        <v>7916.666666666667</v>
      </c>
      <c r="B31">
        <f t="shared" si="1"/>
        <v>8708.3333333333339</v>
      </c>
      <c r="C31">
        <f t="shared" si="2"/>
        <v>7600</v>
      </c>
      <c r="D31" s="6">
        <f t="shared" si="3"/>
        <v>35000</v>
      </c>
      <c r="E31">
        <f t="shared" si="4"/>
        <v>7500</v>
      </c>
      <c r="F31" t="b">
        <f t="shared" si="5"/>
        <v>1</v>
      </c>
      <c r="G31" t="b">
        <f t="shared" si="6"/>
        <v>0</v>
      </c>
      <c r="H31" t="b">
        <f t="shared" si="7"/>
        <v>1</v>
      </c>
      <c r="I31" t="b">
        <f t="shared" si="8"/>
        <v>0</v>
      </c>
      <c r="J31" t="b">
        <f t="shared" si="9"/>
        <v>1</v>
      </c>
      <c r="K31" t="b">
        <f t="shared" si="10"/>
        <v>1</v>
      </c>
      <c r="L31" t="b">
        <f t="shared" si="11"/>
        <v>0</v>
      </c>
      <c r="M31" t="b">
        <f t="shared" si="12"/>
        <v>1</v>
      </c>
      <c r="N31" t="str">
        <f t="shared" si="13"/>
        <v>Mia Martin-IT</v>
      </c>
      <c r="O31" t="b">
        <f t="shared" si="14"/>
        <v>1</v>
      </c>
      <c r="P31" t="b">
        <f t="shared" si="15"/>
        <v>0</v>
      </c>
      <c r="Q31" t="b">
        <f t="shared" si="16"/>
        <v>1</v>
      </c>
      <c r="R31" s="7">
        <f t="shared" si="17"/>
        <v>2000</v>
      </c>
      <c r="S31" t="b">
        <f t="shared" si="18"/>
        <v>1</v>
      </c>
    </row>
    <row r="32" spans="1:19" x14ac:dyDescent="0.25">
      <c r="A32">
        <f t="shared" si="0"/>
        <v>4500</v>
      </c>
      <c r="B32">
        <f t="shared" si="1"/>
        <v>4950</v>
      </c>
      <c r="C32">
        <f t="shared" si="2"/>
        <v>4320</v>
      </c>
      <c r="D32" s="6">
        <f t="shared" si="3"/>
        <v>-6000</v>
      </c>
      <c r="E32">
        <f t="shared" si="4"/>
        <v>1500</v>
      </c>
      <c r="F32" t="b">
        <f t="shared" si="5"/>
        <v>0</v>
      </c>
      <c r="G32" t="b">
        <f t="shared" si="6"/>
        <v>0</v>
      </c>
      <c r="H32" t="b">
        <f t="shared" si="7"/>
        <v>1</v>
      </c>
      <c r="I32" t="b">
        <f t="shared" si="8"/>
        <v>1</v>
      </c>
      <c r="J32" t="b">
        <f t="shared" si="9"/>
        <v>0</v>
      </c>
      <c r="K32" t="b">
        <f t="shared" si="10"/>
        <v>0</v>
      </c>
      <c r="L32" t="b">
        <f t="shared" si="11"/>
        <v>1</v>
      </c>
      <c r="M32" t="b">
        <f t="shared" si="12"/>
        <v>0</v>
      </c>
      <c r="N32" t="str">
        <f t="shared" si="13"/>
        <v>Noah Clark-HR</v>
      </c>
      <c r="O32" t="b">
        <f t="shared" si="14"/>
        <v>0</v>
      </c>
      <c r="P32" t="b">
        <f t="shared" si="15"/>
        <v>1</v>
      </c>
      <c r="Q32" t="b">
        <f t="shared" si="16"/>
        <v>0</v>
      </c>
      <c r="R32" s="7">
        <f t="shared" si="17"/>
        <v>0</v>
      </c>
      <c r="S32" t="b">
        <f t="shared" si="18"/>
        <v>0</v>
      </c>
    </row>
    <row r="33" spans="1:19" x14ac:dyDescent="0.25">
      <c r="A33">
        <f t="shared" si="0"/>
        <v>6000</v>
      </c>
      <c r="B33">
        <f t="shared" si="1"/>
        <v>6600</v>
      </c>
      <c r="C33">
        <f t="shared" si="2"/>
        <v>5760</v>
      </c>
      <c r="D33" s="6">
        <f t="shared" si="3"/>
        <v>12000</v>
      </c>
      <c r="E33">
        <f t="shared" si="4"/>
        <v>6000</v>
      </c>
      <c r="F33" t="b">
        <f t="shared" si="5"/>
        <v>0</v>
      </c>
      <c r="G33" t="b">
        <f t="shared" si="6"/>
        <v>0</v>
      </c>
      <c r="H33" t="b">
        <f t="shared" si="7"/>
        <v>1</v>
      </c>
      <c r="I33" t="b">
        <f t="shared" si="8"/>
        <v>1</v>
      </c>
      <c r="J33" t="b">
        <f t="shared" si="9"/>
        <v>0</v>
      </c>
      <c r="K33" t="b">
        <f t="shared" si="10"/>
        <v>0</v>
      </c>
      <c r="L33" t="b">
        <f t="shared" si="11"/>
        <v>0</v>
      </c>
      <c r="M33" t="b">
        <f t="shared" si="12"/>
        <v>0</v>
      </c>
      <c r="N33" t="str">
        <f t="shared" si="13"/>
        <v>Isabella Lewis-Sales</v>
      </c>
      <c r="O33" t="b">
        <f t="shared" si="14"/>
        <v>0</v>
      </c>
      <c r="P33" t="b">
        <f t="shared" si="15"/>
        <v>0</v>
      </c>
      <c r="Q33" t="b">
        <f t="shared" si="16"/>
        <v>0</v>
      </c>
      <c r="R33" s="7">
        <f t="shared" si="17"/>
        <v>2000</v>
      </c>
      <c r="S33" t="b">
        <f t="shared" si="18"/>
        <v>0</v>
      </c>
    </row>
    <row r="34" spans="1:19" x14ac:dyDescent="0.25">
      <c r="A34">
        <f t="shared" si="0"/>
        <v>6750</v>
      </c>
      <c r="B34">
        <f t="shared" si="1"/>
        <v>7425</v>
      </c>
      <c r="C34">
        <f t="shared" si="2"/>
        <v>6480</v>
      </c>
      <c r="D34" s="6">
        <f t="shared" si="3"/>
        <v>21000</v>
      </c>
      <c r="E34">
        <f t="shared" si="4"/>
        <v>4500</v>
      </c>
      <c r="F34" t="b">
        <f t="shared" si="5"/>
        <v>1</v>
      </c>
      <c r="G34" t="b">
        <f t="shared" si="6"/>
        <v>0</v>
      </c>
      <c r="H34" t="b">
        <f t="shared" si="7"/>
        <v>1</v>
      </c>
      <c r="I34" t="b">
        <f t="shared" si="8"/>
        <v>0</v>
      </c>
      <c r="J34" t="b">
        <f t="shared" si="9"/>
        <v>1</v>
      </c>
      <c r="K34" t="b">
        <f t="shared" si="10"/>
        <v>0</v>
      </c>
      <c r="L34" t="b">
        <f t="shared" si="11"/>
        <v>0</v>
      </c>
      <c r="M34" t="b">
        <f t="shared" si="12"/>
        <v>1</v>
      </c>
      <c r="N34" t="str">
        <f t="shared" si="13"/>
        <v>Ethan Walker-Sales</v>
      </c>
      <c r="O34" t="b">
        <f t="shared" si="14"/>
        <v>0</v>
      </c>
      <c r="P34" t="b">
        <f t="shared" si="15"/>
        <v>0</v>
      </c>
      <c r="Q34" t="b">
        <f t="shared" si="16"/>
        <v>1</v>
      </c>
      <c r="R34" s="7">
        <f t="shared" si="17"/>
        <v>2000</v>
      </c>
      <c r="S34" t="b">
        <f t="shared" si="18"/>
        <v>1</v>
      </c>
    </row>
    <row r="35" spans="1:19" x14ac:dyDescent="0.25">
      <c r="A35">
        <f t="shared" si="0"/>
        <v>5500</v>
      </c>
      <c r="B35">
        <f t="shared" si="1"/>
        <v>6050</v>
      </c>
      <c r="C35">
        <f t="shared" si="2"/>
        <v>5280</v>
      </c>
      <c r="D35" s="6">
        <f t="shared" si="3"/>
        <v>6000</v>
      </c>
      <c r="E35">
        <f t="shared" si="4"/>
        <v>3000</v>
      </c>
      <c r="F35" t="b">
        <f t="shared" si="5"/>
        <v>0</v>
      </c>
      <c r="G35" t="b">
        <f t="shared" si="6"/>
        <v>0</v>
      </c>
      <c r="H35" t="b">
        <f t="shared" si="7"/>
        <v>1</v>
      </c>
      <c r="I35" t="b">
        <f t="shared" si="8"/>
        <v>1</v>
      </c>
      <c r="J35" t="b">
        <f t="shared" si="9"/>
        <v>0</v>
      </c>
      <c r="K35" t="b">
        <f t="shared" si="10"/>
        <v>1</v>
      </c>
      <c r="L35" t="b">
        <f t="shared" si="11"/>
        <v>1</v>
      </c>
      <c r="M35" t="b">
        <f t="shared" si="12"/>
        <v>0</v>
      </c>
      <c r="N35" t="str">
        <f t="shared" si="13"/>
        <v>Amelia Hall-Finance</v>
      </c>
      <c r="O35" t="b">
        <f t="shared" si="14"/>
        <v>0</v>
      </c>
      <c r="P35" t="b">
        <f t="shared" si="15"/>
        <v>1</v>
      </c>
      <c r="Q35" t="b">
        <f t="shared" si="16"/>
        <v>0</v>
      </c>
      <c r="R35" s="7">
        <f t="shared" si="17"/>
        <v>0</v>
      </c>
      <c r="S35" t="b">
        <f t="shared" si="18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Homework</vt:lpstr>
      <vt:lpstr>Instructions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rasmi2415@gmail.com</cp:lastModifiedBy>
  <dcterms:created xsi:type="dcterms:W3CDTF">2026-10-09T17:08:42Z</dcterms:created>
  <dcterms:modified xsi:type="dcterms:W3CDTF">2026-10-14T18:03:11Z</dcterms:modified>
</cp:coreProperties>
</file>